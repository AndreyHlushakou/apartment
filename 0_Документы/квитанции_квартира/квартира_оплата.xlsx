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D:\PROJECTS\apartment\0_Документы\квитанции квартира\"/>
    </mc:Choice>
  </mc:AlternateContent>
  <xr:revisionPtr revIDLastSave="0" documentId="13_ncr:1_{1D564676-FED7-4A75-8BAA-7E2E9C7AC177}" xr6:coauthVersionLast="40" xr6:coauthVersionMax="40" xr10:uidLastSave="{00000000-0000-0000-0000-000000000000}"/>
  <bookViews>
    <workbookView xWindow="0" yWindow="0" windowWidth="21570" windowHeight="7980" xr2:uid="{00000000-000D-0000-FFFF-FFFF00000000}"/>
  </bookViews>
  <sheets>
    <sheet name="Лист1" sheetId="1" r:id="rId1"/>
  </sheets>
  <calcPr calcId="191029"/>
  <extLst>
    <ext uri="GoogleSheetsCustomDataVersion2">
      <go:sheetsCustomData xmlns:go="http://customooxmlschemas.google.com/" r:id="rId5" roundtripDataChecksum="oPOCQJSj0LGhHpZwluMP5Y052Ny8OMVQVMh1Pypp1Fs="/>
    </ext>
  </extLst>
</workbook>
</file>

<file path=xl/calcChain.xml><?xml version="1.0" encoding="utf-8"?>
<calcChain xmlns="http://schemas.openxmlformats.org/spreadsheetml/2006/main">
  <c r="F30" i="1" l="1"/>
  <c r="F29" i="1"/>
  <c r="B25" i="1"/>
  <c r="I25" i="1" s="1"/>
  <c r="J25" i="1" s="1"/>
  <c r="I24" i="1"/>
  <c r="J24" i="1" s="1"/>
  <c r="B24" i="1"/>
  <c r="M22" i="1"/>
  <c r="N22" i="1" s="1"/>
  <c r="B21" i="1"/>
  <c r="I21" i="1" s="1"/>
  <c r="J21" i="1" s="1"/>
  <c r="M20" i="1"/>
  <c r="N20" i="1" s="1"/>
  <c r="B20" i="1"/>
  <c r="I20" i="1" s="1"/>
  <c r="I11" i="1"/>
  <c r="D11" i="1"/>
  <c r="D12" i="1" s="1"/>
  <c r="I10" i="1"/>
  <c r="I12" i="1" s="1"/>
  <c r="D10" i="1"/>
  <c r="C3" i="1"/>
  <c r="D3" i="1" s="1"/>
  <c r="C2" i="1"/>
  <c r="D2" i="1" s="1"/>
  <c r="D4" i="1" s="1"/>
  <c r="D14" i="1" l="1"/>
  <c r="J20" i="1"/>
  <c r="J27" i="1" s="1"/>
  <c r="I27" i="1"/>
  <c r="K27" i="1" s="1"/>
</calcChain>
</file>

<file path=xl/sharedStrings.xml><?xml version="1.0" encoding="utf-8"?>
<sst xmlns="http://schemas.openxmlformats.org/spreadsheetml/2006/main" count="43" uniqueCount="35">
  <si>
    <t>курс сегодня:</t>
  </si>
  <si>
    <t>1 у.е. = n BYN</t>
  </si>
  <si>
    <t>у.е.</t>
  </si>
  <si>
    <t>BYN</t>
  </si>
  <si>
    <t>USD</t>
  </si>
  <si>
    <t>тип платежа</t>
  </si>
  <si>
    <t>EUR</t>
  </si>
  <si>
    <t>сумма=</t>
  </si>
  <si>
    <t>бел. Р.</t>
  </si>
  <si>
    <t>м^2</t>
  </si>
  <si>
    <t>строительство</t>
  </si>
  <si>
    <t>прибыль</t>
  </si>
  <si>
    <t>итого</t>
  </si>
  <si>
    <t>цена за м кв</t>
  </si>
  <si>
    <t>цеена за м машина</t>
  </si>
  <si>
    <t>итого=</t>
  </si>
  <si>
    <t>надо кредит</t>
  </si>
  <si>
    <t>квартира</t>
  </si>
  <si>
    <t>итого надо заплатить</t>
  </si>
  <si>
    <t>КРЕДИТНЫЕ ДЕНЬГИ</t>
  </si>
  <si>
    <t>1 платеж</t>
  </si>
  <si>
    <t>2 платеж</t>
  </si>
  <si>
    <t>остаток руб</t>
  </si>
  <si>
    <t>остаток $</t>
  </si>
  <si>
    <t>подтверждено из агата</t>
  </si>
  <si>
    <t>итого заплатили:</t>
  </si>
  <si>
    <t>задолженность</t>
  </si>
  <si>
    <t>первый счет</t>
  </si>
  <si>
    <t>второй счет</t>
  </si>
  <si>
    <t>гараж</t>
  </si>
  <si>
    <t>3 платеж</t>
  </si>
  <si>
    <t>4 платеж</t>
  </si>
  <si>
    <t>ИТОГО остаток руб</t>
  </si>
  <si>
    <t>ИТОГО остаток $</t>
  </si>
  <si>
    <t>ИТОГО остаток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</si>
</sst>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4" borderId="1" xfId="0" applyFont="1" applyFill="1" applyBorder="1"/>
    <xf numFmtId="0" fontId="2" fillId="5" borderId="1" xfId="0" applyFont="1" applyFill="1" applyBorder="1"/>
    <xf numFmtId="0" fontId="3" fillId="0" borderId="0" xfId="0" applyFont="1"/>
    <xf numFmtId="2" fontId="2" fillId="0" borderId="0" xfId="0" applyNumberFormat="1" applyFont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2" fontId="2" fillId="9" borderId="1" xfId="0" applyNumberFormat="1" applyFont="1" applyFill="1" applyBorder="1"/>
    <xf numFmtId="0" fontId="2" fillId="9" borderId="0" xfId="0" applyFont="1" applyFill="1" applyAlignment="1"/>
    <xf numFmtId="2" fontId="1" fillId="9" borderId="0" xfId="0" applyNumberFormat="1" applyFont="1" applyFill="1"/>
    <xf numFmtId="0" fontId="1" fillId="9" borderId="0" xfId="0" applyFont="1" applyFill="1"/>
    <xf numFmtId="2" fontId="2" fillId="9" borderId="0" xfId="0" applyNumberFormat="1" applyFont="1" applyFill="1"/>
    <xf numFmtId="0" fontId="1" fillId="0" borderId="0" xfId="0" applyFont="1" applyAlignment="1">
      <alignment horizontal="right"/>
    </xf>
    <xf numFmtId="2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/>
  </sheetViews>
  <sheetFormatPr defaultColWidth="14.42578125" defaultRowHeight="15" customHeight="1" x14ac:dyDescent="0.25"/>
  <cols>
    <col min="1" max="1" width="18" customWidth="1"/>
    <col min="2" max="2" width="19.7109375" customWidth="1"/>
    <col min="3" max="3" width="19.140625" customWidth="1"/>
    <col min="4" max="4" width="11" customWidth="1"/>
    <col min="5" max="5" width="9" customWidth="1"/>
    <col min="6" max="6" width="8.5703125" customWidth="1"/>
    <col min="7" max="7" width="13.42578125" customWidth="1"/>
    <col min="8" max="8" width="8.42578125" customWidth="1"/>
    <col min="9" max="9" width="17.5703125" customWidth="1"/>
    <col min="10" max="11" width="15.42578125" customWidth="1"/>
    <col min="12" max="12" width="21.28515625" customWidth="1"/>
    <col min="13" max="13" width="15.7109375" customWidth="1"/>
    <col min="14" max="14" width="14.42578125" customWidth="1"/>
    <col min="15" max="26" width="8.7109375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N1" s="2"/>
      <c r="O1" s="2"/>
      <c r="P1" s="2"/>
      <c r="Q1" s="2"/>
      <c r="R1" s="2"/>
    </row>
    <row r="2" spans="1:18" x14ac:dyDescent="0.25">
      <c r="A2" s="3" t="s">
        <v>4</v>
      </c>
      <c r="B2" s="3">
        <v>2.99</v>
      </c>
      <c r="C2" s="3">
        <f>12000+25+3800+3500+11100-6</f>
        <v>30419</v>
      </c>
      <c r="D2" s="3">
        <f t="shared" ref="D2:D3" si="0">B2*C2</f>
        <v>90952.810000000012</v>
      </c>
      <c r="E2" s="2"/>
      <c r="F2" s="2"/>
      <c r="G2" s="4" t="s">
        <v>5</v>
      </c>
      <c r="H2" s="2"/>
      <c r="I2" s="2"/>
      <c r="J2" s="2"/>
      <c r="K2" s="2"/>
      <c r="L2" s="2"/>
      <c r="N2" s="2"/>
      <c r="O2" s="2"/>
      <c r="P2" s="2"/>
      <c r="Q2" s="2"/>
      <c r="R2" s="2"/>
    </row>
    <row r="3" spans="1:18" x14ac:dyDescent="0.25">
      <c r="A3" s="5" t="s">
        <v>6</v>
      </c>
      <c r="B3" s="5">
        <v>3.35</v>
      </c>
      <c r="C3" s="5">
        <f>3800+200</f>
        <v>4000</v>
      </c>
      <c r="D3" s="5">
        <f t="shared" si="0"/>
        <v>13400</v>
      </c>
      <c r="E3" s="2"/>
      <c r="F3" s="2"/>
      <c r="G3" s="4">
        <v>50301</v>
      </c>
      <c r="H3" s="2"/>
      <c r="I3" s="2"/>
      <c r="J3" s="2"/>
      <c r="K3" s="2"/>
      <c r="L3" s="2"/>
      <c r="N3" s="2"/>
      <c r="O3" s="2"/>
      <c r="P3" s="2"/>
      <c r="Q3" s="2"/>
      <c r="R3" s="2"/>
    </row>
    <row r="4" spans="1:18" x14ac:dyDescent="0.25">
      <c r="B4" s="2"/>
      <c r="C4" s="6" t="s">
        <v>7</v>
      </c>
      <c r="D4" s="6">
        <f>D2+D3</f>
        <v>104352.81000000001</v>
      </c>
      <c r="E4" s="2"/>
      <c r="F4" s="2"/>
      <c r="G4" s="2"/>
      <c r="H4" s="2"/>
      <c r="I4" s="2"/>
      <c r="J4" s="2"/>
      <c r="K4" s="2"/>
      <c r="L4" s="2"/>
      <c r="N4" s="2"/>
      <c r="O4" s="2"/>
      <c r="P4" s="2"/>
      <c r="Q4" s="2"/>
      <c r="R4" s="2"/>
    </row>
    <row r="5" spans="1:18" x14ac:dyDescent="0.25">
      <c r="B5" s="2"/>
      <c r="C5" s="2"/>
      <c r="D5" s="2"/>
      <c r="E5" s="2"/>
      <c r="F5" s="2"/>
      <c r="G5" s="7"/>
      <c r="H5" s="2"/>
      <c r="I5" s="2"/>
      <c r="J5" s="2"/>
      <c r="K5" s="2"/>
      <c r="L5" s="2"/>
      <c r="N5" s="2"/>
      <c r="O5" s="2"/>
      <c r="P5" s="2"/>
      <c r="Q5" s="2"/>
      <c r="R5" s="2"/>
    </row>
    <row r="6" spans="1:18" x14ac:dyDescent="0.25">
      <c r="B6" s="2"/>
      <c r="C6" s="2"/>
      <c r="D6" s="2"/>
      <c r="E6" s="2"/>
      <c r="F6" s="2"/>
      <c r="G6" s="7"/>
      <c r="H6" s="2"/>
      <c r="I6" s="2"/>
      <c r="J6" s="2"/>
      <c r="K6" s="2"/>
      <c r="L6" s="2"/>
      <c r="N6" s="2"/>
      <c r="O6" s="2"/>
      <c r="P6" s="2"/>
      <c r="Q6" s="2"/>
      <c r="R6" s="2"/>
    </row>
    <row r="7" spans="1:18" x14ac:dyDescent="0.25">
      <c r="B7" s="2"/>
      <c r="C7" s="2"/>
      <c r="D7" s="2"/>
      <c r="E7" s="2"/>
      <c r="F7" s="2"/>
      <c r="G7" s="2"/>
      <c r="H7" s="2"/>
      <c r="I7" s="2"/>
      <c r="J7" s="2"/>
      <c r="L7" s="2"/>
      <c r="O7" s="2"/>
      <c r="P7" s="2"/>
      <c r="Q7" s="2"/>
      <c r="R7" s="2"/>
    </row>
    <row r="8" spans="1:18" x14ac:dyDescent="0.25">
      <c r="B8" s="2"/>
      <c r="C8" s="2"/>
      <c r="D8" s="2"/>
      <c r="E8" s="2"/>
      <c r="F8" s="2"/>
      <c r="G8" s="2"/>
      <c r="H8" s="2"/>
      <c r="I8" s="2"/>
      <c r="J8" s="2"/>
      <c r="L8" s="2"/>
      <c r="P8" s="2"/>
      <c r="Q8" s="2"/>
      <c r="R8" s="2"/>
    </row>
    <row r="9" spans="1:18" x14ac:dyDescent="0.25">
      <c r="B9" s="2" t="s">
        <v>8</v>
      </c>
      <c r="C9" s="2" t="s">
        <v>9</v>
      </c>
      <c r="D9" s="2" t="s">
        <v>7</v>
      </c>
      <c r="E9" s="2"/>
      <c r="F9" s="2"/>
      <c r="G9" s="2" t="s">
        <v>10</v>
      </c>
      <c r="H9" s="2" t="s">
        <v>11</v>
      </c>
      <c r="I9" s="2" t="s">
        <v>12</v>
      </c>
      <c r="J9" s="2"/>
      <c r="K9" s="2"/>
    </row>
    <row r="10" spans="1:18" x14ac:dyDescent="0.25">
      <c r="A10" s="1" t="s">
        <v>13</v>
      </c>
      <c r="B10" s="2">
        <v>2944</v>
      </c>
      <c r="C10" s="2">
        <v>45.17</v>
      </c>
      <c r="D10" s="2">
        <f t="shared" ref="D10:D11" si="1">B10*C10</f>
        <v>132980.48000000001</v>
      </c>
      <c r="E10" s="2"/>
      <c r="F10" s="2"/>
      <c r="G10" s="8">
        <v>100367.74</v>
      </c>
      <c r="H10" s="8">
        <v>32612.74</v>
      </c>
      <c r="I10" s="8">
        <f t="shared" ref="I10:I11" si="2">G10+H10</f>
        <v>132980.48000000001</v>
      </c>
      <c r="J10" s="2"/>
      <c r="K10" s="2"/>
    </row>
    <row r="11" spans="1:18" x14ac:dyDescent="0.25">
      <c r="A11" s="1" t="s">
        <v>14</v>
      </c>
      <c r="B11" s="2">
        <v>2861.81</v>
      </c>
      <c r="C11" s="2">
        <v>12.5</v>
      </c>
      <c r="D11" s="2">
        <f t="shared" si="1"/>
        <v>35772.625</v>
      </c>
      <c r="E11" s="2"/>
      <c r="F11" s="2"/>
      <c r="G11" s="8">
        <v>33118.25</v>
      </c>
      <c r="H11" s="8">
        <v>2654.38</v>
      </c>
      <c r="I11" s="8">
        <f t="shared" si="2"/>
        <v>35772.629999999997</v>
      </c>
      <c r="J11" s="2"/>
      <c r="K11" s="2"/>
      <c r="L11" s="2"/>
    </row>
    <row r="12" spans="1:18" x14ac:dyDescent="0.25">
      <c r="B12" s="2"/>
      <c r="C12" s="9" t="s">
        <v>15</v>
      </c>
      <c r="D12" s="9">
        <f>D10+D11</f>
        <v>168753.10500000001</v>
      </c>
      <c r="E12" s="2"/>
      <c r="F12" s="2"/>
      <c r="G12" s="8"/>
      <c r="H12" s="8"/>
      <c r="I12" s="8">
        <f>I10+I11</f>
        <v>168753.11000000002</v>
      </c>
      <c r="J12" s="2"/>
      <c r="K12" s="2"/>
      <c r="L12" s="2"/>
    </row>
    <row r="13" spans="1:18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8" x14ac:dyDescent="0.25">
      <c r="B14" s="2"/>
      <c r="C14" s="10" t="s">
        <v>16</v>
      </c>
      <c r="D14" s="10">
        <f>D12-D4</f>
        <v>64400.294999999998</v>
      </c>
      <c r="E14" s="2"/>
      <c r="F14" s="2"/>
      <c r="G14" s="2"/>
      <c r="H14" s="2"/>
      <c r="I14" s="2"/>
      <c r="J14" s="2"/>
      <c r="K14" s="2"/>
      <c r="L14" s="2"/>
    </row>
    <row r="15" spans="1:18" x14ac:dyDescent="0.25">
      <c r="B15" s="2"/>
      <c r="C15" s="2"/>
      <c r="D15" s="2"/>
      <c r="E15" s="2"/>
      <c r="F15" s="2"/>
      <c r="K15" s="2"/>
      <c r="L15" s="2"/>
    </row>
    <row r="16" spans="1:18" x14ac:dyDescent="0.25">
      <c r="B16" s="2"/>
      <c r="C16" s="2"/>
      <c r="D16" s="2"/>
      <c r="E16" s="2"/>
      <c r="F16" s="2"/>
      <c r="G16" s="2"/>
      <c r="K16" s="2"/>
      <c r="L16" s="2"/>
    </row>
    <row r="17" spans="1:14" x14ac:dyDescent="0.25">
      <c r="B17" s="2"/>
      <c r="C17" s="2"/>
      <c r="D17" s="2"/>
      <c r="E17" s="2"/>
      <c r="F17" s="2"/>
      <c r="G17" s="2"/>
      <c r="K17" s="2"/>
      <c r="L17" s="2"/>
    </row>
    <row r="19" spans="1:14" x14ac:dyDescent="0.25">
      <c r="A19" s="1" t="s">
        <v>17</v>
      </c>
      <c r="B19" s="1" t="s">
        <v>18</v>
      </c>
      <c r="C19" s="11" t="s">
        <v>19</v>
      </c>
      <c r="D19" s="12" t="s">
        <v>20</v>
      </c>
      <c r="E19" s="12" t="s">
        <v>21</v>
      </c>
      <c r="F19" s="2"/>
      <c r="I19" s="2" t="s">
        <v>22</v>
      </c>
      <c r="J19" s="1" t="s">
        <v>23</v>
      </c>
      <c r="K19" s="2"/>
      <c r="L19" s="12" t="s">
        <v>24</v>
      </c>
      <c r="M19" s="12" t="s">
        <v>25</v>
      </c>
      <c r="N19" s="12" t="s">
        <v>26</v>
      </c>
    </row>
    <row r="20" spans="1:14" x14ac:dyDescent="0.25">
      <c r="A20" s="1" t="s">
        <v>27</v>
      </c>
      <c r="B20" s="8">
        <f>G10</f>
        <v>100367.74</v>
      </c>
      <c r="C20" s="11">
        <v>67000</v>
      </c>
      <c r="D20" s="12">
        <v>15000</v>
      </c>
      <c r="E20" s="12">
        <v>18367.740000000002</v>
      </c>
      <c r="F20" s="2"/>
      <c r="I20" s="8">
        <f>B20-C20-D20-E20</f>
        <v>0</v>
      </c>
      <c r="J20" s="1">
        <f t="shared" ref="J20:J21" si="3">I20/$B$2</f>
        <v>0</v>
      </c>
      <c r="K20" s="2"/>
      <c r="L20" s="12">
        <v>150866.79999999999</v>
      </c>
      <c r="M20" s="13">
        <f>C20+D20+E20+D21+D24+D25</f>
        <v>150866.80000000002</v>
      </c>
      <c r="N20" s="13">
        <f>L20-M20</f>
        <v>0</v>
      </c>
    </row>
    <row r="21" spans="1:14" ht="15.75" customHeight="1" x14ac:dyDescent="0.25">
      <c r="A21" s="2" t="s">
        <v>28</v>
      </c>
      <c r="B21" s="8">
        <f>H10</f>
        <v>32612.74</v>
      </c>
      <c r="C21" s="2"/>
      <c r="D21" s="12">
        <v>32612.74</v>
      </c>
      <c r="E21" s="2"/>
      <c r="F21" s="2"/>
      <c r="I21" s="8">
        <f>B21-D21</f>
        <v>0</v>
      </c>
      <c r="J21" s="1">
        <f t="shared" si="3"/>
        <v>0</v>
      </c>
      <c r="K21" s="2"/>
    </row>
    <row r="22" spans="1:14" ht="15.75" customHeight="1" x14ac:dyDescent="0.25">
      <c r="C22" s="2"/>
      <c r="D22" s="2"/>
      <c r="E22" s="2"/>
      <c r="F22" s="2"/>
      <c r="I22" s="2"/>
      <c r="K22" s="2"/>
      <c r="L22" s="14">
        <v>11924.2</v>
      </c>
      <c r="M22" s="15">
        <f>F24+G24+F25+G25</f>
        <v>11924.199999999999</v>
      </c>
      <c r="N22" s="15">
        <f>L22-M22</f>
        <v>0</v>
      </c>
    </row>
    <row r="23" spans="1:14" ht="15.75" customHeight="1" x14ac:dyDescent="0.25">
      <c r="A23" s="2" t="s">
        <v>29</v>
      </c>
      <c r="B23" s="1" t="s">
        <v>18</v>
      </c>
      <c r="D23" s="12" t="s">
        <v>20</v>
      </c>
      <c r="E23" s="12" t="s">
        <v>21</v>
      </c>
      <c r="F23" s="16" t="s">
        <v>30</v>
      </c>
      <c r="G23" s="16" t="s">
        <v>31</v>
      </c>
      <c r="I23" s="2" t="s">
        <v>22</v>
      </c>
      <c r="J23" s="1" t="s">
        <v>23</v>
      </c>
    </row>
    <row r="24" spans="1:14" ht="15.75" customHeight="1" x14ac:dyDescent="0.25">
      <c r="A24" s="1" t="s">
        <v>27</v>
      </c>
      <c r="B24" s="8">
        <f>G11</f>
        <v>33118.25</v>
      </c>
      <c r="D24" s="12">
        <v>16559.13</v>
      </c>
      <c r="E24" s="13">
        <v>5519.71</v>
      </c>
      <c r="F24" s="17">
        <v>5519.71</v>
      </c>
      <c r="G24" s="17">
        <v>5519.7</v>
      </c>
      <c r="I24" s="8">
        <f t="shared" ref="I24:I25" si="4">B24-D24-E24-(F24+G24)</f>
        <v>0</v>
      </c>
      <c r="J24" s="1">
        <f t="shared" ref="J24:J25" si="5">I24/$B$2</f>
        <v>0</v>
      </c>
      <c r="L24" s="8"/>
    </row>
    <row r="25" spans="1:14" ht="15.75" customHeight="1" x14ac:dyDescent="0.25">
      <c r="A25" s="2" t="s">
        <v>28</v>
      </c>
      <c r="B25" s="8">
        <f>H11</f>
        <v>2654.38</v>
      </c>
      <c r="D25" s="12">
        <v>1327.19</v>
      </c>
      <c r="E25" s="13">
        <v>442.4</v>
      </c>
      <c r="F25" s="17">
        <v>442.4</v>
      </c>
      <c r="G25" s="17">
        <v>442.39</v>
      </c>
      <c r="I25" s="8">
        <f t="shared" si="4"/>
        <v>0</v>
      </c>
      <c r="J25" s="1">
        <f t="shared" si="5"/>
        <v>0</v>
      </c>
    </row>
    <row r="26" spans="1:14" ht="15.75" customHeight="1" x14ac:dyDescent="0.25">
      <c r="E26" s="8"/>
      <c r="I26" s="18" t="s">
        <v>32</v>
      </c>
      <c r="J26" s="1" t="s">
        <v>33</v>
      </c>
      <c r="K26" s="1" t="s">
        <v>34</v>
      </c>
    </row>
    <row r="27" spans="1:14" ht="15.75" customHeight="1" x14ac:dyDescent="0.25">
      <c r="I27" s="8">
        <f t="shared" ref="I27:J27" si="6">I20+I21+I24+I25</f>
        <v>0</v>
      </c>
      <c r="J27" s="1">
        <f t="shared" si="6"/>
        <v>0</v>
      </c>
      <c r="K27" s="1">
        <f>I27/B3</f>
        <v>0</v>
      </c>
    </row>
    <row r="28" spans="1:14" ht="15.75" customHeight="1" x14ac:dyDescent="0.25"/>
    <row r="29" spans="1:14" ht="15.75" customHeight="1" x14ac:dyDescent="0.25">
      <c r="F29" s="19">
        <f t="shared" ref="F29:F30" si="7">F24+G24</f>
        <v>11039.41</v>
      </c>
    </row>
    <row r="30" spans="1:14" ht="15.75" customHeight="1" x14ac:dyDescent="0.25">
      <c r="F30" s="19">
        <f t="shared" si="7"/>
        <v>884.79</v>
      </c>
    </row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andrew</cp:lastModifiedBy>
  <dcterms:created xsi:type="dcterms:W3CDTF">2015-06-05T18:19:34Z</dcterms:created>
  <dcterms:modified xsi:type="dcterms:W3CDTF">2025-09-17T09:01:52Z</dcterms:modified>
</cp:coreProperties>
</file>