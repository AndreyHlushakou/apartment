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D:\PROJECTS\apartment\0_Документы\квитанции_кредит\"/>
    </mc:Choice>
  </mc:AlternateContent>
  <xr:revisionPtr revIDLastSave="0" documentId="13_ncr:1_{4794140E-3124-4ABE-B7CA-BE76A69FA372}" xr6:coauthVersionLast="40" xr6:coauthVersionMax="40" xr10:uidLastSave="{00000000-0000-0000-0000-000000000000}"/>
  <bookViews>
    <workbookView xWindow="0" yWindow="0" windowWidth="21570" windowHeight="7980" xr2:uid="{00000000-000D-0000-FFFF-FFFF00000000}"/>
  </bookViews>
  <sheets>
    <sheet name="Лист1" sheetId="1" r:id="rId1"/>
  </sheets>
  <calcPr calcId="191029"/>
  <extLst>
    <ext uri="GoogleSheetsCustomDataVersion2">
      <go:sheetsCustomData xmlns:go="http://customooxmlschemas.google.com/" r:id="rId5" roundtripDataChecksum="aShA0/RAUJF9WcDldG/gDiWiySE0cY1ncg8/7ueaokw="/>
    </ext>
  </extLst>
</workbook>
</file>

<file path=xl/calcChain.xml><?xml version="1.0" encoding="utf-8"?>
<calcChain xmlns="http://schemas.openxmlformats.org/spreadsheetml/2006/main">
  <c r="I6" i="1" l="1"/>
  <c r="J2" i="1"/>
  <c r="J1" i="1"/>
  <c r="H18" i="1"/>
  <c r="J3" i="1" l="1"/>
  <c r="F2" i="1"/>
  <c r="H17" i="1"/>
  <c r="H16" i="1" l="1"/>
  <c r="H15" i="1" l="1"/>
  <c r="H14" i="1" l="1"/>
  <c r="H8" i="1"/>
  <c r="H9" i="1"/>
  <c r="H10" i="1"/>
  <c r="H11" i="1"/>
  <c r="H12" i="1"/>
  <c r="H13" i="1"/>
  <c r="H7" i="1"/>
</calcChain>
</file>

<file path=xl/sharedStrings.xml><?xml version="1.0" encoding="utf-8"?>
<sst xmlns="http://schemas.openxmlformats.org/spreadsheetml/2006/main" count="10" uniqueCount="10">
  <si>
    <t>дата</t>
  </si>
  <si>
    <t>сумма</t>
  </si>
  <si>
    <t>проценты</t>
  </si>
  <si>
    <t>основной долг</t>
  </si>
  <si>
    <t>чек сумма</t>
  </si>
  <si>
    <t>кредит</t>
  </si>
  <si>
    <t>остаток</t>
  </si>
  <si>
    <t>переплачено</t>
  </si>
  <si>
    <t>итого внесено</t>
  </si>
  <si>
    <t>ушли на кредит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</si>
</sst>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/>
    <xf numFmtId="0" fontId="3" fillId="2" borderId="0" xfId="1" applyAlignment="1"/>
    <xf numFmtId="0" fontId="4" fillId="3" borderId="0" xfId="2" applyAlignment="1"/>
    <xf numFmtId="0" fontId="5" fillId="4" borderId="0" xfId="3" applyAlignment="1"/>
    <xf numFmtId="14" fontId="0" fillId="0" borderId="0" xfId="0" applyNumberFormat="1" applyFont="1" applyAlignment="1"/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сумма внесенная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Лист1!$A$7:$A$18</c:f>
              <c:numCache>
                <c:formatCode>dd\.mm\.yyyy</c:formatCode>
                <c:ptCount val="12"/>
                <c:pt idx="0">
                  <c:v>45810</c:v>
                </c:pt>
                <c:pt idx="1">
                  <c:v>45842</c:v>
                </c:pt>
                <c:pt idx="2">
                  <c:v>45871</c:v>
                </c:pt>
                <c:pt idx="3">
                  <c:v>45903</c:v>
                </c:pt>
                <c:pt idx="4">
                  <c:v>45933</c:v>
                </c:pt>
                <c:pt idx="5">
                  <c:v>45965</c:v>
                </c:pt>
                <c:pt idx="6">
                  <c:v>45983</c:v>
                </c:pt>
                <c:pt idx="7">
                  <c:v>45992</c:v>
                </c:pt>
                <c:pt idx="8">
                  <c:v>46025</c:v>
                </c:pt>
                <c:pt idx="9">
                  <c:v>46055</c:v>
                </c:pt>
                <c:pt idx="10" formatCode="m/d/yyyy">
                  <c:v>46082</c:v>
                </c:pt>
                <c:pt idx="11" formatCode="m/d/yyyy">
                  <c:v>46113</c:v>
                </c:pt>
              </c:numCache>
            </c:numRef>
          </c:xVal>
          <c:yVal>
            <c:numRef>
              <c:f>Лист1!$B$7:$B$18</c:f>
              <c:numCache>
                <c:formatCode>General</c:formatCode>
                <c:ptCount val="12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9000</c:v>
                </c:pt>
                <c:pt idx="7">
                  <c:v>5000</c:v>
                </c:pt>
                <c:pt idx="8">
                  <c:v>6000</c:v>
                </c:pt>
                <c:pt idx="9">
                  <c:v>6000</c:v>
                </c:pt>
                <c:pt idx="10">
                  <c:v>8000</c:v>
                </c:pt>
                <c:pt idx="11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CD-45ED-B5AF-F0DC6836795B}"/>
            </c:ext>
          </c:extLst>
        </c:ser>
        <c:ser>
          <c:idx val="4"/>
          <c:order val="2"/>
          <c:tx>
            <c:v>погашение долга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Лист1!$A$7:$A$18</c:f>
              <c:numCache>
                <c:formatCode>dd\.mm\.yyyy</c:formatCode>
                <c:ptCount val="12"/>
                <c:pt idx="0">
                  <c:v>45810</c:v>
                </c:pt>
                <c:pt idx="1">
                  <c:v>45842</c:v>
                </c:pt>
                <c:pt idx="2">
                  <c:v>45871</c:v>
                </c:pt>
                <c:pt idx="3">
                  <c:v>45903</c:v>
                </c:pt>
                <c:pt idx="4">
                  <c:v>45933</c:v>
                </c:pt>
                <c:pt idx="5">
                  <c:v>45965</c:v>
                </c:pt>
                <c:pt idx="6">
                  <c:v>45983</c:v>
                </c:pt>
                <c:pt idx="7">
                  <c:v>45992</c:v>
                </c:pt>
                <c:pt idx="8">
                  <c:v>46025</c:v>
                </c:pt>
                <c:pt idx="9">
                  <c:v>46055</c:v>
                </c:pt>
                <c:pt idx="10" formatCode="m/d/yyyy">
                  <c:v>46082</c:v>
                </c:pt>
                <c:pt idx="11" formatCode="m/d/yyyy">
                  <c:v>46113</c:v>
                </c:pt>
              </c:numCache>
            </c:numRef>
          </c:xVal>
          <c:yVal>
            <c:numRef>
              <c:f>Лист1!$F$7:$F$18</c:f>
              <c:numCache>
                <c:formatCode>General</c:formatCode>
                <c:ptCount val="12"/>
                <c:pt idx="0">
                  <c:v>1697.12</c:v>
                </c:pt>
                <c:pt idx="1">
                  <c:v>1078.4000000000001</c:v>
                </c:pt>
                <c:pt idx="2">
                  <c:v>1076.76</c:v>
                </c:pt>
                <c:pt idx="3">
                  <c:v>1151.5999999999999</c:v>
                </c:pt>
                <c:pt idx="4">
                  <c:v>1079.33</c:v>
                </c:pt>
                <c:pt idx="5">
                  <c:v>1124.67</c:v>
                </c:pt>
                <c:pt idx="6">
                  <c:v>9000</c:v>
                </c:pt>
                <c:pt idx="7">
                  <c:v>4243.96</c:v>
                </c:pt>
                <c:pt idx="8">
                  <c:v>5260.23</c:v>
                </c:pt>
                <c:pt idx="9">
                  <c:v>5438.97</c:v>
                </c:pt>
                <c:pt idx="10">
                  <c:v>7525.73</c:v>
                </c:pt>
                <c:pt idx="11">
                  <c:v>4570.41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CD-45ED-B5AF-F0DC68367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436447"/>
        <c:axId val="1298428543"/>
      </c:scatterChart>
      <c:scatterChart>
        <c:scatterStyle val="smoothMarker"/>
        <c:varyColors val="0"/>
        <c:ser>
          <c:idx val="3"/>
          <c:order val="1"/>
          <c:tx>
            <c:v>проценты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Лист1!$A$7:$A$18</c:f>
              <c:numCache>
                <c:formatCode>dd\.mm\.yyyy</c:formatCode>
                <c:ptCount val="12"/>
                <c:pt idx="0">
                  <c:v>45810</c:v>
                </c:pt>
                <c:pt idx="1">
                  <c:v>45842</c:v>
                </c:pt>
                <c:pt idx="2">
                  <c:v>45871</c:v>
                </c:pt>
                <c:pt idx="3">
                  <c:v>45903</c:v>
                </c:pt>
                <c:pt idx="4">
                  <c:v>45933</c:v>
                </c:pt>
                <c:pt idx="5">
                  <c:v>45965</c:v>
                </c:pt>
                <c:pt idx="6">
                  <c:v>45983</c:v>
                </c:pt>
                <c:pt idx="7">
                  <c:v>45992</c:v>
                </c:pt>
                <c:pt idx="8">
                  <c:v>46025</c:v>
                </c:pt>
                <c:pt idx="9">
                  <c:v>46055</c:v>
                </c:pt>
                <c:pt idx="10" formatCode="m/d/yyyy">
                  <c:v>46082</c:v>
                </c:pt>
                <c:pt idx="11" formatCode="m/d/yyyy">
                  <c:v>46113</c:v>
                </c:pt>
              </c:numCache>
            </c:numRef>
          </c:xVal>
          <c:yVal>
            <c:numRef>
              <c:f>Лист1!$E$7:$E$18</c:f>
              <c:numCache>
                <c:formatCode>General</c:formatCode>
                <c:ptCount val="12"/>
                <c:pt idx="0">
                  <c:v>302.88</c:v>
                </c:pt>
                <c:pt idx="1">
                  <c:v>921.6</c:v>
                </c:pt>
                <c:pt idx="2">
                  <c:v>923.24</c:v>
                </c:pt>
                <c:pt idx="3">
                  <c:v>848.4</c:v>
                </c:pt>
                <c:pt idx="4">
                  <c:v>920.67</c:v>
                </c:pt>
                <c:pt idx="5">
                  <c:v>875.33</c:v>
                </c:pt>
                <c:pt idx="6">
                  <c:v>0</c:v>
                </c:pt>
                <c:pt idx="7">
                  <c:v>756.04</c:v>
                </c:pt>
                <c:pt idx="8">
                  <c:v>739.77</c:v>
                </c:pt>
                <c:pt idx="9">
                  <c:v>561.03</c:v>
                </c:pt>
                <c:pt idx="10">
                  <c:v>474.27</c:v>
                </c:pt>
                <c:pt idx="11">
                  <c:v>429.59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CD-45ED-B5AF-F0DC68367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555487"/>
        <c:axId val="1239544671"/>
      </c:scatterChart>
      <c:valAx>
        <c:axId val="129842854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8436447"/>
        <c:crosses val="max"/>
        <c:crossBetween val="midCat"/>
      </c:valAx>
      <c:valAx>
        <c:axId val="1298436447"/>
        <c:scaling>
          <c:orientation val="minMax"/>
        </c:scaling>
        <c:delete val="1"/>
        <c:axPos val="b"/>
        <c:numFmt formatCode="dd\.mm\.yyyy" sourceLinked="1"/>
        <c:majorTickMark val="out"/>
        <c:minorTickMark val="none"/>
        <c:tickLblPos val="nextTo"/>
        <c:crossAx val="1298428543"/>
        <c:crossBetween val="midCat"/>
      </c:valAx>
      <c:valAx>
        <c:axId val="12395446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9555487"/>
        <c:crossBetween val="midCat"/>
      </c:valAx>
      <c:valAx>
        <c:axId val="1239555487"/>
        <c:scaling>
          <c:orientation val="minMax"/>
        </c:scaling>
        <c:delete val="1"/>
        <c:axPos val="b"/>
        <c:numFmt formatCode="dd\.mm\.yyyy" sourceLinked="1"/>
        <c:majorTickMark val="out"/>
        <c:minorTickMark val="none"/>
        <c:tickLblPos val="nextTo"/>
        <c:crossAx val="123954467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571500</xdr:colOff>
      <xdr:row>1</xdr:row>
      <xdr:rowOff>4762</xdr:rowOff>
    </xdr:from>
    <xdr:to>
      <xdr:col>26</xdr:col>
      <xdr:colOff>495300</xdr:colOff>
      <xdr:row>15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36E8552-FC4F-4472-860D-D064C5ECC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I7" sqref="I7"/>
    </sheetView>
  </sheetViews>
  <sheetFormatPr defaultColWidth="14.42578125" defaultRowHeight="15" customHeight="1" x14ac:dyDescent="0.25"/>
  <cols>
    <col min="1" max="1" width="10.140625" customWidth="1"/>
    <col min="2" max="8" width="8.7109375" customWidth="1"/>
    <col min="9" max="9" width="17.42578125" customWidth="1"/>
    <col min="10" max="26" width="8.7109375" customWidth="1"/>
  </cols>
  <sheetData>
    <row r="1" spans="1:10" ht="15" customHeight="1" x14ac:dyDescent="0.25">
      <c r="E1" t="s">
        <v>5</v>
      </c>
      <c r="F1">
        <v>67000</v>
      </c>
      <c r="I1" t="s">
        <v>9</v>
      </c>
      <c r="J1">
        <f>SUM(F7:F18)</f>
        <v>43247.180000000008</v>
      </c>
    </row>
    <row r="2" spans="1:10" ht="15" customHeight="1" x14ac:dyDescent="0.25">
      <c r="E2" t="s">
        <v>6</v>
      </c>
      <c r="F2" s="4">
        <f>F1-J1</f>
        <v>23752.819999999992</v>
      </c>
      <c r="I2" t="s">
        <v>7</v>
      </c>
      <c r="J2" s="5">
        <f>SUM(E7:E18)</f>
        <v>7752.82</v>
      </c>
    </row>
    <row r="3" spans="1:10" ht="15" customHeight="1" x14ac:dyDescent="0.25">
      <c r="I3" t="s">
        <v>8</v>
      </c>
      <c r="J3" s="6">
        <f>J1+J2</f>
        <v>51000.000000000007</v>
      </c>
    </row>
    <row r="6" spans="1:10" ht="15" customHeight="1" x14ac:dyDescent="0.25">
      <c r="A6" s="1" t="s">
        <v>0</v>
      </c>
      <c r="B6" s="1" t="s">
        <v>1</v>
      </c>
      <c r="E6" t="s">
        <v>2</v>
      </c>
      <c r="F6" t="s">
        <v>3</v>
      </c>
      <c r="H6" t="s">
        <v>4</v>
      </c>
      <c r="I6">
        <f>SUM(H7:H18)</f>
        <v>51000</v>
      </c>
    </row>
    <row r="7" spans="1:10" ht="15" customHeight="1" x14ac:dyDescent="0.25">
      <c r="A7" s="2">
        <v>45810</v>
      </c>
      <c r="B7" s="1">
        <v>2000</v>
      </c>
      <c r="E7">
        <v>302.88</v>
      </c>
      <c r="F7">
        <v>1697.12</v>
      </c>
      <c r="H7">
        <f>E7+F7</f>
        <v>2000</v>
      </c>
    </row>
    <row r="8" spans="1:10" ht="15" customHeight="1" x14ac:dyDescent="0.25">
      <c r="A8" s="2">
        <v>45842</v>
      </c>
      <c r="B8" s="1">
        <v>2000</v>
      </c>
      <c r="E8">
        <v>921.6</v>
      </c>
      <c r="F8">
        <v>1078.4000000000001</v>
      </c>
      <c r="H8">
        <f t="shared" ref="H8:H13" si="0">E8+F8</f>
        <v>2000</v>
      </c>
    </row>
    <row r="9" spans="1:10" ht="15" customHeight="1" x14ac:dyDescent="0.25">
      <c r="A9" s="2">
        <v>45871</v>
      </c>
      <c r="B9" s="3">
        <v>2000</v>
      </c>
      <c r="E9">
        <v>923.24</v>
      </c>
      <c r="F9">
        <v>1076.76</v>
      </c>
      <c r="H9">
        <f t="shared" si="0"/>
        <v>2000</v>
      </c>
    </row>
    <row r="10" spans="1:10" ht="15" customHeight="1" x14ac:dyDescent="0.25">
      <c r="A10" s="2">
        <v>45903</v>
      </c>
      <c r="B10" s="3">
        <v>2000</v>
      </c>
      <c r="E10">
        <v>848.4</v>
      </c>
      <c r="F10">
        <v>1151.5999999999999</v>
      </c>
      <c r="H10">
        <f t="shared" si="0"/>
        <v>2000</v>
      </c>
    </row>
    <row r="11" spans="1:10" ht="15" customHeight="1" x14ac:dyDescent="0.25">
      <c r="A11" s="2">
        <v>45933</v>
      </c>
      <c r="B11">
        <v>2000</v>
      </c>
      <c r="E11">
        <v>920.67</v>
      </c>
      <c r="F11">
        <v>1079.33</v>
      </c>
      <c r="H11">
        <f t="shared" si="0"/>
        <v>2000</v>
      </c>
    </row>
    <row r="12" spans="1:10" ht="15" customHeight="1" x14ac:dyDescent="0.25">
      <c r="A12" s="2">
        <v>45965</v>
      </c>
      <c r="B12">
        <v>2000</v>
      </c>
      <c r="E12">
        <v>875.33</v>
      </c>
      <c r="F12">
        <v>1124.67</v>
      </c>
      <c r="H12">
        <f t="shared" si="0"/>
        <v>2000</v>
      </c>
    </row>
    <row r="13" spans="1:10" ht="15" customHeight="1" x14ac:dyDescent="0.25">
      <c r="A13" s="2">
        <v>45983</v>
      </c>
      <c r="B13">
        <v>9000</v>
      </c>
      <c r="E13">
        <v>0</v>
      </c>
      <c r="F13">
        <v>9000</v>
      </c>
      <c r="H13">
        <f t="shared" si="0"/>
        <v>9000</v>
      </c>
    </row>
    <row r="14" spans="1:10" ht="15" customHeight="1" x14ac:dyDescent="0.25">
      <c r="A14" s="2">
        <v>45992</v>
      </c>
      <c r="B14">
        <v>5000</v>
      </c>
      <c r="E14">
        <v>756.04</v>
      </c>
      <c r="F14">
        <v>4243.96</v>
      </c>
      <c r="H14">
        <f>E14+F14</f>
        <v>5000</v>
      </c>
    </row>
    <row r="15" spans="1:10" ht="15" customHeight="1" x14ac:dyDescent="0.25">
      <c r="A15" s="2">
        <v>46025</v>
      </c>
      <c r="B15">
        <v>6000</v>
      </c>
      <c r="E15">
        <v>739.77</v>
      </c>
      <c r="F15">
        <v>5260.23</v>
      </c>
      <c r="H15">
        <f>E15+F15</f>
        <v>6000</v>
      </c>
    </row>
    <row r="16" spans="1:10" ht="15" customHeight="1" x14ac:dyDescent="0.25">
      <c r="A16" s="2">
        <v>46055</v>
      </c>
      <c r="B16">
        <v>6000</v>
      </c>
      <c r="E16">
        <v>561.03</v>
      </c>
      <c r="F16">
        <v>5438.97</v>
      </c>
      <c r="H16">
        <f>E16+F16</f>
        <v>6000</v>
      </c>
    </row>
    <row r="17" spans="1:8" ht="15" customHeight="1" x14ac:dyDescent="0.25">
      <c r="A17" s="7">
        <v>46082</v>
      </c>
      <c r="B17">
        <v>8000</v>
      </c>
      <c r="E17">
        <v>474.27</v>
      </c>
      <c r="F17">
        <v>7525.73</v>
      </c>
      <c r="H17">
        <f>E17+F17</f>
        <v>8000</v>
      </c>
    </row>
    <row r="18" spans="1:8" ht="15" customHeight="1" x14ac:dyDescent="0.25">
      <c r="A18" s="7">
        <v>46113</v>
      </c>
      <c r="B18">
        <v>5000</v>
      </c>
      <c r="E18">
        <v>429.59</v>
      </c>
      <c r="F18">
        <v>4570.41</v>
      </c>
      <c r="H18">
        <f>E18+F18</f>
        <v>5000</v>
      </c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</cp:lastModifiedBy>
  <dcterms:created xsi:type="dcterms:W3CDTF">2015-06-05T18:19:34Z</dcterms:created>
  <dcterms:modified xsi:type="dcterms:W3CDTF">2026-04-01T08:56:03Z</dcterms:modified>
</cp:coreProperties>
</file>